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cília Natália\Downloads\"/>
    </mc:Choice>
  </mc:AlternateContent>
  <xr:revisionPtr revIDLastSave="0" documentId="13_ncr:1_{75F1B710-4DC6-4801-AF49-28459D9E5B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rmo_Aceite" sheetId="1" r:id="rId1"/>
    <sheet name="Plan1" sheetId="2" state="hidden" r:id="rId2"/>
  </sheets>
  <definedNames>
    <definedName name="_xlnm.Print_Area" localSheetId="0">Termo_Aceite!$A$1:$M$41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G27" i="1" l="1"/>
  <c r="K27" i="1" l="1"/>
  <c r="A35" i="1" s="1"/>
  <c r="I27" i="1" l="1"/>
  <c r="L27" i="1"/>
  <c r="B31" i="1" s="1"/>
  <c r="C31" i="1" s="1"/>
  <c r="J27" i="1"/>
  <c r="J12" i="2" l="1"/>
  <c r="J8" i="2"/>
  <c r="H15" i="2"/>
  <c r="F15" i="2"/>
  <c r="E15" i="2"/>
  <c r="J14" i="2"/>
  <c r="J13" i="2"/>
  <c r="J11" i="2"/>
  <c r="J10" i="2"/>
  <c r="J9" i="2"/>
  <c r="J7" i="2"/>
  <c r="J6" i="2"/>
  <c r="J5" i="2"/>
  <c r="B33" i="1" l="1"/>
  <c r="C33" i="1" s="1"/>
  <c r="B35" i="1"/>
  <c r="C35" i="1" s="1"/>
  <c r="J15" i="2"/>
  <c r="J4" i="2"/>
  <c r="H27" i="1" l="1"/>
  <c r="O26" i="1" l="1"/>
  <c r="P26" i="1"/>
  <c r="Q26" i="1"/>
  <c r="R26" i="1"/>
  <c r="S26" i="1"/>
</calcChain>
</file>

<file path=xl/sharedStrings.xml><?xml version="1.0" encoding="utf-8"?>
<sst xmlns="http://schemas.openxmlformats.org/spreadsheetml/2006/main" count="75" uniqueCount="68">
  <si>
    <r>
      <t>Termo de Aceite de Faturamento (</t>
    </r>
    <r>
      <rPr>
        <b/>
        <sz val="14"/>
        <color rgb="FFC00000"/>
        <rFont val="Calibri"/>
        <family val="2"/>
        <scheme val="minor"/>
      </rPr>
      <t>CAMPOS EM VERMELHO OBRIGATÓRIO</t>
    </r>
    <r>
      <rPr>
        <b/>
        <sz val="14"/>
        <color theme="1"/>
        <rFont val="Calibri"/>
        <family val="2"/>
        <scheme val="minor"/>
      </rPr>
      <t>)</t>
    </r>
  </si>
  <si>
    <t>Dados do Serviço</t>
  </si>
  <si>
    <t>Fase: Sustentação / Evolutivas</t>
  </si>
  <si>
    <t xml:space="preserve">Contratada: Atlanteam
</t>
  </si>
  <si>
    <t>Linha de orçamento (Conta contábil):OPEX</t>
  </si>
  <si>
    <t>CAPEX ou OPEX : OPEX</t>
  </si>
  <si>
    <t xml:space="preserve">  (  ) CAPEX              (  )OPEX</t>
  </si>
  <si>
    <t xml:space="preserve">Contratante: CPFL
</t>
  </si>
  <si>
    <t>CNPJ fornecedor subcontrado: 10886193/0001-83</t>
  </si>
  <si>
    <t xml:space="preserve">Nº Termo de Aceite: </t>
  </si>
  <si>
    <t>Descrição dos Serviços Entregues</t>
  </si>
  <si>
    <t>Observações e Ressalvas</t>
  </si>
  <si>
    <t>Incidentes: Nenhum
Horas Evolutivas: valor fixo
Itens entregues: Valor fixo ( 80 horas Mensais )
Penalidade: Nenhuma
SLA Aferido:</t>
  </si>
  <si>
    <t>Valor mensal Sustentacao : R$ 40.000,00
Impostos: 0,00
Total :  R$ 40.000,00 
Total: R$ 40.000,00</t>
  </si>
  <si>
    <t>Valores e Rateios entre as Empresas:</t>
  </si>
  <si>
    <t>EMPRESA</t>
  </si>
  <si>
    <t>CONTRATO (46xxxx)</t>
  </si>
  <si>
    <t xml:space="preserve">NCM </t>
  </si>
  <si>
    <t xml:space="preserve">ORDEM, CENTRO DE CUSTO OU DIAGRAMA </t>
  </si>
  <si>
    <t>DIFERIMENTO</t>
  </si>
  <si>
    <t>Valor Total do Contrato</t>
  </si>
  <si>
    <t>% Por Empresa</t>
  </si>
  <si>
    <t>Valor Já Faturado (R$)</t>
  </si>
  <si>
    <t xml:space="preserve">Valor Parcela Anterior (R$) </t>
  </si>
  <si>
    <t xml:space="preserve">Valor desta Parcela (R$) </t>
  </si>
  <si>
    <t>Saldo do Contrato (R$)</t>
  </si>
  <si>
    <t xml:space="preserve">CPFL </t>
  </si>
  <si>
    <t>1.01</t>
  </si>
  <si>
    <t>.</t>
  </si>
  <si>
    <t>Total R$</t>
  </si>
  <si>
    <t>Aprovação de Aceite de Faturamento</t>
  </si>
  <si>
    <t>Desempenho do contrato</t>
  </si>
  <si>
    <t>Previsto
mês</t>
  </si>
  <si>
    <t>Real 
mês</t>
  </si>
  <si>
    <t>Variação
mês</t>
  </si>
  <si>
    <t>Justificativa da variação:</t>
  </si>
  <si>
    <t>Previsto
Acumulado</t>
  </si>
  <si>
    <t>Real 
Acumulado</t>
  </si>
  <si>
    <t>Variação
Acumulada</t>
  </si>
  <si>
    <t>Plano de ação para recomposição:</t>
  </si>
  <si>
    <t>% 
Realização</t>
  </si>
  <si>
    <t>%
pagamento</t>
  </si>
  <si>
    <r>
      <t xml:space="preserve">Justificativa: </t>
    </r>
    <r>
      <rPr>
        <sz val="14"/>
        <rFont val="Calibri"/>
        <family val="2"/>
        <scheme val="minor"/>
      </rPr>
      <t>(Projetos)</t>
    </r>
  </si>
  <si>
    <t xml:space="preserve"> </t>
  </si>
  <si>
    <t>Aprovado por</t>
  </si>
  <si>
    <t>Gestor da TI CPFL</t>
  </si>
  <si>
    <t>Gestor do Contrato</t>
  </si>
  <si>
    <t>Gestor do Negócio</t>
  </si>
  <si>
    <t>Contratada</t>
  </si>
  <si>
    <t>Contratante</t>
  </si>
  <si>
    <t>Subcontratada</t>
  </si>
  <si>
    <t>Empresa</t>
  </si>
  <si>
    <t>Contrato</t>
  </si>
  <si>
    <t>CPFL Brasil</t>
  </si>
  <si>
    <t>CPFL Paulista</t>
  </si>
  <si>
    <t>CPFL Piratininga</t>
  </si>
  <si>
    <t>Santa Cruz</t>
  </si>
  <si>
    <t>Leste Paulista</t>
  </si>
  <si>
    <t>Sul Paulista</t>
  </si>
  <si>
    <t>Jaguari</t>
  </si>
  <si>
    <t>Mococa</t>
  </si>
  <si>
    <t>RGE</t>
  </si>
  <si>
    <t>CPFL Geração</t>
  </si>
  <si>
    <t>CPFL Serviços</t>
  </si>
  <si>
    <t>Aprovação de aceite de faturamento</t>
  </si>
  <si>
    <t xml:space="preserve">Nome do Serviço/Projeto: Projeto Cadastro </t>
  </si>
  <si>
    <t xml:space="preserve">Período de Medição: 01/07/2026
</t>
  </si>
  <si>
    <t xml:space="preserve">Marco do Projeto:
 Classe Tarifária:
-Mapeamento de Regras (Silvana) 
03/07 - matriz de regras grupo A E B rural                                                                                                                                            13/07 Matriz de regras grupo A e B poder público
21/07 - argumentos residencial com CNPJ
23/07 - relatório regras gerenciais residencial (Adiantamento)
27/07 - relatório regras gerenciais industrial (Adiantamento)
27/07 - relatório regras gerenciais comercial (Adiantamento)
-Mapeamento Técnico (Samuel)  
01/07 - Residencial / Industrial / Comercial
15/07 - Rural (Tabela no banco) 90%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</si>
</sst>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omic Sans MS"/>
      <family val="2"/>
    </font>
    <font>
      <sz val="11"/>
      <color theme="3" tint="-0.499984740745262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sz val="24"/>
      <color rgb="FF000000"/>
      <name val="Liberation Sans1"/>
    </font>
    <font>
      <sz val="18"/>
      <color rgb="FF000000"/>
      <name val="Liberation Sans1"/>
    </font>
    <font>
      <sz val="12"/>
      <color rgb="FF000000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  <font>
      <b/>
      <i/>
      <u/>
      <sz val="10"/>
      <color rgb="FF000000"/>
      <name val="Liberation Sans1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/>
    <xf numFmtId="0" fontId="21" fillId="0" borderId="0"/>
    <xf numFmtId="0" fontId="22" fillId="7" borderId="0"/>
    <xf numFmtId="0" fontId="22" fillId="8" borderId="0"/>
    <xf numFmtId="0" fontId="21" fillId="9" borderId="0"/>
    <xf numFmtId="0" fontId="23" fillId="10" borderId="0"/>
    <xf numFmtId="0" fontId="24" fillId="11" borderId="0"/>
    <xf numFmtId="0" fontId="25" fillId="0" borderId="0"/>
    <xf numFmtId="0" fontId="26" fillId="12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13" borderId="0"/>
    <xf numFmtId="0" fontId="32" fillId="13" borderId="14"/>
    <xf numFmtId="0" fontId="33" fillId="0" borderId="0"/>
    <xf numFmtId="0" fontId="20" fillId="0" borderId="0"/>
    <xf numFmtId="0" fontId="20" fillId="0" borderId="0"/>
    <xf numFmtId="0" fontId="23" fillId="0" borderId="0"/>
    <xf numFmtId="0" fontId="34" fillId="0" borderId="0"/>
  </cellStyleXfs>
  <cellXfs count="134">
    <xf numFmtId="0" fontId="0" fillId="0" borderId="0" xfId="0"/>
    <xf numFmtId="0" fontId="6" fillId="0" borderId="2" xfId="0" applyFont="1" applyBorder="1" applyAlignment="1">
      <alignment horizontal="center" vertical="top" wrapText="1"/>
    </xf>
    <xf numFmtId="9" fontId="2" fillId="0" borderId="2" xfId="1" applyFont="1" applyBorder="1" applyAlignment="1">
      <alignment horizontal="center" vertical="center" wrapText="1"/>
    </xf>
    <xf numFmtId="10" fontId="0" fillId="0" borderId="2" xfId="1" applyNumberFormat="1" applyFont="1" applyFill="1" applyBorder="1"/>
    <xf numFmtId="164" fontId="6" fillId="0" borderId="2" xfId="0" applyNumberFormat="1" applyFont="1" applyBorder="1" applyAlignment="1">
      <alignment horizontal="center" vertical="top" wrapText="1"/>
    </xf>
    <xf numFmtId="164" fontId="9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164" fontId="0" fillId="0" borderId="0" xfId="0" applyNumberFormat="1"/>
    <xf numFmtId="0" fontId="2" fillId="0" borderId="12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4" fontId="8" fillId="3" borderId="0" xfId="3" applyNumberFormat="1" applyFont="1" applyFill="1" applyAlignment="1">
      <alignment horizontal="center" vertical="center"/>
    </xf>
    <xf numFmtId="4" fontId="8" fillId="3" borderId="13" xfId="3" applyNumberFormat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4" fontId="5" fillId="0" borderId="2" xfId="0" applyNumberFormat="1" applyFont="1" applyBorder="1" applyAlignment="1">
      <alignment horizontal="center" vertical="center" wrapText="1"/>
    </xf>
    <xf numFmtId="44" fontId="6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8" fontId="17" fillId="0" borderId="3" xfId="0" applyNumberFormat="1" applyFont="1" applyBorder="1" applyAlignment="1">
      <alignment horizontal="center" vertical="center" wrapText="1"/>
    </xf>
    <xf numFmtId="9" fontId="16" fillId="0" borderId="2" xfId="1" applyFont="1" applyBorder="1" applyAlignment="1">
      <alignment horizontal="center" vertical="center" wrapText="1"/>
    </xf>
    <xf numFmtId="38" fontId="17" fillId="5" borderId="3" xfId="0" applyNumberFormat="1" applyFont="1" applyFill="1" applyBorder="1" applyAlignment="1">
      <alignment horizontal="center" vertical="center" wrapText="1"/>
    </xf>
    <xf numFmtId="38" fontId="17" fillId="5" borderId="2" xfId="0" applyNumberFormat="1" applyFont="1" applyFill="1" applyBorder="1" applyAlignment="1">
      <alignment horizontal="center" vertical="center" wrapText="1"/>
    </xf>
    <xf numFmtId="9" fontId="16" fillId="5" borderId="3" xfId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10" fontId="0" fillId="0" borderId="2" xfId="1" applyNumberFormat="1" applyFont="1" applyFill="1" applyBorder="1" applyAlignment="1">
      <alignment vertical="center"/>
    </xf>
    <xf numFmtId="164" fontId="6" fillId="3" borderId="2" xfId="0" applyNumberFormat="1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16" fillId="2" borderId="2" xfId="0" applyFont="1" applyFill="1" applyBorder="1" applyAlignment="1">
      <alignment horizontal="center" vertical="center" wrapText="1"/>
    </xf>
    <xf numFmtId="38" fontId="15" fillId="0" borderId="2" xfId="0" applyNumberFormat="1" applyFont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5" borderId="2" xfId="0" quotePrefix="1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5" borderId="2" xfId="0" quotePrefix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 wrapText="1"/>
    </xf>
    <xf numFmtId="44" fontId="10" fillId="0" borderId="3" xfId="0" applyNumberFormat="1" applyFont="1" applyBorder="1" applyAlignment="1">
      <alignment horizontal="center" vertical="center" wrapText="1"/>
    </xf>
    <xf numFmtId="44" fontId="10" fillId="0" borderId="4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left" vertical="center" wrapText="1"/>
    </xf>
    <xf numFmtId="0" fontId="0" fillId="0" borderId="10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7" fontId="2" fillId="0" borderId="5" xfId="0" applyNumberFormat="1" applyFont="1" applyBorder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44" fontId="11" fillId="0" borderId="3" xfId="0" applyNumberFormat="1" applyFont="1" applyBorder="1" applyAlignment="1">
      <alignment horizontal="center" vertical="center" wrapText="1"/>
    </xf>
    <xf numFmtId="44" fontId="11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8" fontId="15" fillId="0" borderId="2" xfId="0" quotePrefix="1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vertical="top" wrapText="1"/>
    </xf>
    <xf numFmtId="164" fontId="6" fillId="0" borderId="4" xfId="0" applyNumberFormat="1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164" fontId="9" fillId="0" borderId="3" xfId="0" applyNumberFormat="1" applyFont="1" applyBorder="1" applyAlignment="1">
      <alignment horizontal="center" vertical="top" wrapText="1"/>
    </xf>
    <xf numFmtId="164" fontId="9" fillId="0" borderId="4" xfId="0" applyNumberFormat="1" applyFont="1" applyBorder="1" applyAlignment="1">
      <alignment horizontal="center" vertical="top" wrapText="1"/>
    </xf>
    <xf numFmtId="0" fontId="0" fillId="4" borderId="3" xfId="0" applyFill="1" applyBorder="1"/>
    <xf numFmtId="0" fontId="0" fillId="4" borderId="4" xfId="0" applyFill="1" applyBorder="1"/>
    <xf numFmtId="0" fontId="5" fillId="0" borderId="2" xfId="0" applyFont="1" applyBorder="1" applyAlignment="1">
      <alignment horizontal="center" vertical="top" wrapText="1"/>
    </xf>
  </cellXfs>
  <cellStyles count="24">
    <cellStyle name="Accent" xfId="5" xr:uid="{9D7FC77B-8CF1-44A1-AFE5-A5C74D4255F3}"/>
    <cellStyle name="Accent 1" xfId="6" xr:uid="{92B593CF-EF60-49F2-A535-805EB3D6A3D0}"/>
    <cellStyle name="Accent 2" xfId="7" xr:uid="{4DEA07B5-0D1C-41BE-B715-A93BE14D83C9}"/>
    <cellStyle name="Accent 3" xfId="8" xr:uid="{492E752A-88D6-4A64-BFEF-97E2F5DF7A1C}"/>
    <cellStyle name="Bad" xfId="9" xr:uid="{E2480730-9A81-4C6D-AC2C-CC136A0E40AF}"/>
    <cellStyle name="Error" xfId="10" xr:uid="{EA2E93C2-05A8-48F4-8691-F60879EB1970}"/>
    <cellStyle name="Footnote" xfId="11" xr:uid="{2CE0AA0F-95D5-4CF2-A467-0865B9C52C7A}"/>
    <cellStyle name="Good" xfId="12" xr:uid="{4ACB22AE-1C44-4A88-A971-071633B699A4}"/>
    <cellStyle name="Heading (user)" xfId="13" xr:uid="{A3D0A5D2-1419-49D9-8B8E-BEB625E604FB}"/>
    <cellStyle name="Heading 1" xfId="14" xr:uid="{5191BDC6-8C42-44D2-BCAC-5B67C8CB0B04}"/>
    <cellStyle name="Heading 2" xfId="15" xr:uid="{B3F7F52E-395C-4873-8B40-4ED8DC8BBBA0}"/>
    <cellStyle name="Hyperlink" xfId="16" xr:uid="{6C4F55AE-D52E-443C-A91A-D7DB7C8C2F7C}"/>
    <cellStyle name="Neutral" xfId="17" xr:uid="{44EDE26A-2303-4144-A74F-3C26EC93A8DA}"/>
    <cellStyle name="Normal" xfId="0" builtinId="0"/>
    <cellStyle name="Normal 2" xfId="3" xr:uid="{00000000-0005-0000-0000-000001000000}"/>
    <cellStyle name="Normal 3" xfId="4" xr:uid="{DA6D7B3B-C24C-4200-828F-21F2CD626563}"/>
    <cellStyle name="Normal 4" xfId="23" xr:uid="{BDDE53F3-0F63-4030-90AA-AE3F0C09CD7A}"/>
    <cellStyle name="Note" xfId="18" xr:uid="{3E4003A4-9745-4D9D-B17D-0F6823D4F722}"/>
    <cellStyle name="Porcentagem" xfId="1" builtinId="5"/>
    <cellStyle name="Result (user)" xfId="19" xr:uid="{CBEDFCEE-1489-4FE5-9A71-FC7E8CD60FDB}"/>
    <cellStyle name="Status" xfId="20" xr:uid="{9BC96E52-B293-4CEA-A5B8-F7664FCDE715}"/>
    <cellStyle name="Text" xfId="21" xr:uid="{6BBEF17D-7D71-430F-8D61-78560660CEAD}"/>
    <cellStyle name="Vírgula 2" xfId="2" xr:uid="{00000000-0005-0000-0000-000003000000}"/>
    <cellStyle name="Warning" xfId="22" xr:uid="{03FB8F82-EF1E-466C-9FAB-24A88DAA33D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52107</xdr:colOff>
      <xdr:row>40</xdr:row>
      <xdr:rowOff>0</xdr:rowOff>
    </xdr:from>
    <xdr:to>
      <xdr:col>9</xdr:col>
      <xdr:colOff>714412</xdr:colOff>
      <xdr:row>40</xdr:row>
      <xdr:rowOff>0</xdr:rowOff>
    </xdr:to>
    <xdr:pic>
      <xdr:nvPicPr>
        <xdr:cNvPr id="2" name="Picture 52246">
          <a:extLst>
            <a:ext uri="{FF2B5EF4-FFF2-40B4-BE49-F238E27FC236}">
              <a16:creationId xmlns:a16="http://schemas.microsoft.com/office/drawing/2014/main" id="{7A96FEE3-485A-486F-A341-BA88FE345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8757" y="14182725"/>
          <a:ext cx="188150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36</xdr:row>
      <xdr:rowOff>428625</xdr:rowOff>
    </xdr:from>
    <xdr:to>
      <xdr:col>9</xdr:col>
      <xdr:colOff>809625</xdr:colOff>
      <xdr:row>37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5E6634-882C-425F-A618-D3B503D3C8CF}"/>
            </a:ext>
            <a:ext uri="{147F2762-F138-4A5C-976F-8EAC2B608ADB}">
              <a16:predDERef xmlns:a16="http://schemas.microsoft.com/office/drawing/2014/main" pred="{7A96FEE3-485A-486F-A341-BA88FE345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2706350"/>
          <a:ext cx="189547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3"/>
  <sheetViews>
    <sheetView showGridLines="0" tabSelected="1" zoomScale="85" zoomScaleNormal="85" workbookViewId="0">
      <selection activeCell="A12" sqref="A12:F12"/>
    </sheetView>
  </sheetViews>
  <sheetFormatPr defaultColWidth="0" defaultRowHeight="14.5" zeroHeight="1"/>
  <cols>
    <col min="1" max="1" width="14.453125" style="12" customWidth="1"/>
    <col min="2" max="2" width="25.7265625" style="12" customWidth="1"/>
    <col min="3" max="6" width="13.7265625" style="12" customWidth="1"/>
    <col min="7" max="7" width="16.54296875" style="12" customWidth="1"/>
    <col min="8" max="9" width="9.26953125" style="12" customWidth="1"/>
    <col min="10" max="10" width="14.453125" style="12" bestFit="1" customWidth="1"/>
    <col min="11" max="11" width="17.453125" style="12" customWidth="1"/>
    <col min="12" max="12" width="14.453125" style="12" bestFit="1" customWidth="1"/>
    <col min="13" max="13" width="15.54296875" style="12" bestFit="1" customWidth="1"/>
    <col min="14" max="14" width="14" style="12" customWidth="1"/>
    <col min="15" max="16384" width="9.26953125" style="12" hidden="1"/>
  </cols>
  <sheetData>
    <row r="1" spans="1:14" ht="21" customHeight="1">
      <c r="A1" s="95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38"/>
    </row>
    <row r="2" spans="1:14" ht="15.5" hidden="1">
      <c r="A2" s="96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</row>
    <row r="3" spans="1:14" ht="15" customHeight="1">
      <c r="A3" s="87" t="s">
        <v>65</v>
      </c>
      <c r="B3" s="88"/>
      <c r="C3" s="88"/>
      <c r="D3" s="88"/>
      <c r="E3" s="88"/>
      <c r="F3" s="89"/>
      <c r="G3" s="72" t="s">
        <v>2</v>
      </c>
      <c r="H3" s="73"/>
      <c r="I3" s="74"/>
      <c r="J3" s="72" t="s">
        <v>3</v>
      </c>
      <c r="K3" s="73"/>
      <c r="L3" s="73"/>
      <c r="M3" s="74"/>
    </row>
    <row r="4" spans="1:14" hidden="1">
      <c r="A4" s="90"/>
      <c r="B4" s="91"/>
      <c r="C4" s="91"/>
      <c r="D4" s="91"/>
      <c r="E4" s="91"/>
      <c r="F4" s="92"/>
      <c r="G4" s="75"/>
      <c r="H4" s="76"/>
      <c r="I4" s="77"/>
      <c r="J4" s="99"/>
      <c r="K4" s="85"/>
      <c r="L4" s="85"/>
      <c r="M4" s="86"/>
    </row>
    <row r="5" spans="1:14" ht="15" customHeight="1">
      <c r="A5" s="81" t="s">
        <v>4</v>
      </c>
      <c r="B5" s="82"/>
      <c r="C5" s="82"/>
      <c r="D5" s="82"/>
      <c r="E5" s="82"/>
      <c r="F5" s="82"/>
      <c r="G5" s="82"/>
      <c r="H5" s="82"/>
      <c r="I5" s="83"/>
      <c r="J5" s="81" t="s">
        <v>5</v>
      </c>
      <c r="K5" s="82"/>
      <c r="L5" s="82"/>
      <c r="M5" s="83"/>
    </row>
    <row r="6" spans="1:14" hidden="1">
      <c r="A6" s="84"/>
      <c r="B6" s="85"/>
      <c r="C6" s="85"/>
      <c r="D6" s="85"/>
      <c r="E6" s="85"/>
      <c r="F6" s="85"/>
      <c r="G6" s="85"/>
      <c r="H6" s="85"/>
      <c r="I6" s="86"/>
      <c r="J6" s="75" t="s">
        <v>6</v>
      </c>
      <c r="K6" s="76"/>
      <c r="L6" s="76"/>
      <c r="M6" s="77"/>
    </row>
    <row r="7" spans="1:14" ht="33.75" customHeight="1">
      <c r="A7" s="72" t="s">
        <v>7</v>
      </c>
      <c r="B7" s="73"/>
      <c r="C7" s="73"/>
      <c r="D7" s="73"/>
      <c r="E7" s="73"/>
      <c r="F7" s="74"/>
      <c r="G7" s="81" t="s">
        <v>8</v>
      </c>
      <c r="H7" s="82"/>
      <c r="I7" s="83"/>
      <c r="J7" s="72" t="s">
        <v>66</v>
      </c>
      <c r="K7" s="73"/>
      <c r="L7" s="73"/>
      <c r="M7" s="74"/>
    </row>
    <row r="8" spans="1:14" hidden="1">
      <c r="A8" s="75"/>
      <c r="B8" s="76"/>
      <c r="C8" s="76"/>
      <c r="D8" s="76"/>
      <c r="E8" s="76"/>
      <c r="F8" s="77"/>
      <c r="G8" s="66"/>
      <c r="H8" s="67"/>
      <c r="I8" s="68"/>
      <c r="J8" s="100"/>
      <c r="K8" s="101"/>
      <c r="L8" s="67"/>
      <c r="M8" s="68"/>
    </row>
    <row r="9" spans="1:14" hidden="1">
      <c r="A9" s="78"/>
      <c r="B9" s="79"/>
      <c r="C9" s="79"/>
      <c r="D9" s="79"/>
      <c r="E9" s="79"/>
      <c r="F9" s="80"/>
      <c r="G9" s="69"/>
      <c r="H9" s="70"/>
      <c r="I9" s="71"/>
      <c r="J9" s="69"/>
      <c r="K9" s="70"/>
      <c r="L9" s="70"/>
      <c r="M9" s="71"/>
    </row>
    <row r="10" spans="1:14" ht="15" customHeight="1">
      <c r="A10" s="72" t="s">
        <v>67</v>
      </c>
      <c r="B10" s="73"/>
      <c r="C10" s="73"/>
      <c r="D10" s="73"/>
      <c r="E10" s="73"/>
      <c r="F10" s="74"/>
      <c r="G10" s="72" t="s">
        <v>9</v>
      </c>
      <c r="H10" s="73"/>
      <c r="I10" s="74"/>
      <c r="J10" s="72"/>
      <c r="K10" s="73"/>
      <c r="L10" s="73"/>
      <c r="M10" s="74"/>
    </row>
    <row r="11" spans="1:14" ht="168" customHeight="1">
      <c r="A11" s="75"/>
      <c r="B11" s="76"/>
      <c r="C11" s="76"/>
      <c r="D11" s="76"/>
      <c r="E11" s="76"/>
      <c r="F11" s="77"/>
      <c r="G11" s="102">
        <v>2</v>
      </c>
      <c r="H11" s="67"/>
      <c r="I11" s="68"/>
      <c r="J11" s="66">
        <v>2</v>
      </c>
      <c r="K11" s="67"/>
      <c r="L11" s="67"/>
      <c r="M11" s="68"/>
    </row>
    <row r="12" spans="1:14" ht="11.25" customHeight="1">
      <c r="A12" s="69"/>
      <c r="B12" s="70"/>
      <c r="C12" s="70"/>
      <c r="D12" s="70"/>
      <c r="E12" s="70"/>
      <c r="F12" s="71"/>
      <c r="G12" s="69"/>
      <c r="H12" s="70"/>
      <c r="I12" s="71"/>
      <c r="J12" s="69"/>
      <c r="K12" s="70"/>
      <c r="L12" s="70"/>
      <c r="M12" s="71"/>
    </row>
    <row r="13" spans="1:14">
      <c r="A13" s="63" t="s">
        <v>10</v>
      </c>
      <c r="B13" s="64"/>
      <c r="C13" s="64"/>
      <c r="D13" s="64"/>
      <c r="E13" s="64"/>
      <c r="F13" s="64"/>
      <c r="G13" s="64"/>
      <c r="H13" s="64"/>
      <c r="I13" s="64" t="s">
        <v>11</v>
      </c>
      <c r="J13" s="64"/>
      <c r="K13" s="64"/>
      <c r="L13" s="64"/>
      <c r="M13" s="65"/>
    </row>
    <row r="14" spans="1:14">
      <c r="A14" s="50" t="s">
        <v>12</v>
      </c>
      <c r="B14" s="51"/>
      <c r="C14" s="51"/>
      <c r="D14" s="51"/>
      <c r="E14" s="51"/>
      <c r="F14" s="51"/>
      <c r="G14" s="51"/>
      <c r="H14" s="51"/>
      <c r="I14" s="57" t="s">
        <v>13</v>
      </c>
      <c r="J14" s="58"/>
      <c r="K14" s="58"/>
      <c r="L14" s="58"/>
      <c r="M14" s="58"/>
    </row>
    <row r="15" spans="1:14">
      <c r="A15" s="51"/>
      <c r="B15" s="51"/>
      <c r="C15" s="51"/>
      <c r="D15" s="51"/>
      <c r="E15" s="51"/>
      <c r="F15" s="51"/>
      <c r="G15" s="51"/>
      <c r="H15" s="51"/>
      <c r="I15" s="58"/>
      <c r="J15" s="58"/>
      <c r="K15" s="58"/>
      <c r="L15" s="58"/>
      <c r="M15" s="58"/>
    </row>
    <row r="16" spans="1:14">
      <c r="A16" s="51"/>
      <c r="B16" s="51"/>
      <c r="C16" s="51"/>
      <c r="D16" s="51"/>
      <c r="E16" s="51"/>
      <c r="F16" s="51"/>
      <c r="G16" s="51"/>
      <c r="H16" s="51"/>
      <c r="I16" s="58"/>
      <c r="J16" s="58"/>
      <c r="K16" s="58"/>
      <c r="L16" s="58"/>
      <c r="M16" s="58"/>
    </row>
    <row r="17" spans="1:19" ht="184.4" customHeight="1">
      <c r="A17" s="51"/>
      <c r="B17" s="51"/>
      <c r="C17" s="51"/>
      <c r="D17" s="51"/>
      <c r="E17" s="51"/>
      <c r="F17" s="51"/>
      <c r="G17" s="51"/>
      <c r="H17" s="51"/>
      <c r="I17" s="58"/>
      <c r="J17" s="58"/>
      <c r="K17" s="58"/>
      <c r="L17" s="58"/>
      <c r="M17" s="58"/>
    </row>
    <row r="18" spans="1:19">
      <c r="A18" s="52" t="s">
        <v>14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</row>
    <row r="19" spans="1:19" ht="52">
      <c r="A19" s="48" t="s">
        <v>15</v>
      </c>
      <c r="B19" s="48"/>
      <c r="C19" s="25" t="s">
        <v>16</v>
      </c>
      <c r="D19" s="25" t="s">
        <v>17</v>
      </c>
      <c r="E19" s="25" t="s">
        <v>18</v>
      </c>
      <c r="F19" s="25" t="s">
        <v>19</v>
      </c>
      <c r="G19" s="49" t="s">
        <v>20</v>
      </c>
      <c r="H19" s="49"/>
      <c r="I19" s="6" t="s">
        <v>21</v>
      </c>
      <c r="J19" s="6" t="s">
        <v>22</v>
      </c>
      <c r="K19" s="25" t="s">
        <v>23</v>
      </c>
      <c r="L19" s="25" t="s">
        <v>24</v>
      </c>
      <c r="M19" s="6" t="s">
        <v>25</v>
      </c>
    </row>
    <row r="20" spans="1:19">
      <c r="A20" s="61" t="s">
        <v>26</v>
      </c>
      <c r="B20" s="62"/>
      <c r="C20">
        <v>18164</v>
      </c>
      <c r="D20" s="20" t="s">
        <v>27</v>
      </c>
      <c r="E20" s="19"/>
      <c r="F20" s="19"/>
      <c r="G20" s="46"/>
      <c r="H20" s="47"/>
      <c r="I20" s="39">
        <v>1</v>
      </c>
      <c r="J20" s="40">
        <v>0</v>
      </c>
      <c r="K20" s="40">
        <v>0</v>
      </c>
      <c r="L20" s="41">
        <v>40000</v>
      </c>
      <c r="M20" s="42"/>
      <c r="N20" s="43"/>
    </row>
    <row r="21" spans="1:19">
      <c r="A21" s="55"/>
      <c r="B21" s="56"/>
      <c r="C21" s="6"/>
      <c r="D21" s="6"/>
      <c r="F21" s="26"/>
      <c r="G21" s="20"/>
      <c r="H21" s="21"/>
      <c r="I21" s="24"/>
      <c r="J21" s="22"/>
      <c r="K21" s="22"/>
      <c r="L21" s="22"/>
      <c r="M21" s="6"/>
    </row>
    <row r="22" spans="1:19">
      <c r="A22" s="55"/>
      <c r="B22" s="56"/>
      <c r="C22" s="6"/>
      <c r="D22" s="20"/>
      <c r="E22" s="19"/>
      <c r="F22" s="19"/>
      <c r="G22" s="20"/>
      <c r="H22" s="21"/>
      <c r="I22" s="24"/>
      <c r="J22" s="22" t="s">
        <v>28</v>
      </c>
      <c r="K22" s="22"/>
      <c r="L22" s="22"/>
      <c r="M22" s="6"/>
    </row>
    <row r="23" spans="1:19">
      <c r="A23" s="55"/>
      <c r="B23" s="56"/>
      <c r="C23" s="6"/>
      <c r="D23" s="20"/>
      <c r="E23" s="19"/>
      <c r="F23" s="19"/>
      <c r="G23" s="20"/>
      <c r="H23" s="21"/>
      <c r="I23" s="24"/>
      <c r="J23" s="22"/>
      <c r="K23" s="22"/>
      <c r="L23" s="22"/>
      <c r="M23" s="6"/>
    </row>
    <row r="24" spans="1:19">
      <c r="A24" s="55"/>
      <c r="B24" s="56"/>
      <c r="C24" s="6"/>
      <c r="D24" s="20"/>
      <c r="E24" s="19"/>
      <c r="F24" s="19"/>
      <c r="G24" s="20"/>
      <c r="H24" s="21"/>
      <c r="I24" s="24"/>
      <c r="J24" s="22"/>
      <c r="K24" s="22"/>
      <c r="L24" s="22"/>
      <c r="M24" s="6"/>
    </row>
    <row r="25" spans="1:19">
      <c r="A25" s="55"/>
      <c r="B25" s="56"/>
      <c r="C25" s="6"/>
      <c r="D25" s="20"/>
      <c r="E25" s="19"/>
      <c r="F25" s="19"/>
      <c r="G25" s="20"/>
      <c r="H25" s="21"/>
      <c r="I25" s="24"/>
      <c r="J25" s="22"/>
      <c r="K25" s="22"/>
      <c r="L25" s="22"/>
      <c r="M25" s="6"/>
    </row>
    <row r="26" spans="1:19" ht="15" customHeight="1">
      <c r="A26" s="55"/>
      <c r="B26" s="56"/>
      <c r="C26" s="6"/>
      <c r="D26" s="20"/>
      <c r="E26" s="19"/>
      <c r="F26" s="19"/>
      <c r="G26" s="59"/>
      <c r="H26" s="60"/>
      <c r="I26" s="24"/>
      <c r="J26" s="23"/>
      <c r="K26" s="23"/>
      <c r="L26" s="22"/>
      <c r="M26" s="13"/>
      <c r="N26" s="14"/>
      <c r="O26" s="15">
        <f>SUM(O7:O18)</f>
        <v>0</v>
      </c>
      <c r="P26" s="15">
        <f>SUM(P7:P18)</f>
        <v>0</v>
      </c>
      <c r="Q26" s="15">
        <f>SUM(Q7:Q18)</f>
        <v>0</v>
      </c>
      <c r="R26" s="15">
        <f>SUM(R7:R18)</f>
        <v>0</v>
      </c>
      <c r="S26" s="15">
        <f>SUM(S7:S18)</f>
        <v>0</v>
      </c>
    </row>
    <row r="27" spans="1:19" s="18" customFormat="1" ht="25.15" customHeight="1">
      <c r="A27" s="109" t="s">
        <v>29</v>
      </c>
      <c r="B27" s="110"/>
      <c r="C27" s="111"/>
      <c r="D27" s="11"/>
      <c r="E27" s="11"/>
      <c r="F27" s="11"/>
      <c r="G27" s="112">
        <f>SUM(G20:G26)</f>
        <v>0</v>
      </c>
      <c r="H27" s="113">
        <f>SUM(H26:H26)</f>
        <v>0</v>
      </c>
      <c r="I27" s="2">
        <f>SUM(I20:I26)</f>
        <v>1</v>
      </c>
      <c r="J27" s="16">
        <f>SUM(J20:J26)</f>
        <v>0</v>
      </c>
      <c r="K27" s="16">
        <f>SUM(K20:K26)</f>
        <v>0</v>
      </c>
      <c r="L27" s="16">
        <f>SUM(L20:L26)</f>
        <v>40000</v>
      </c>
      <c r="M27" s="16"/>
      <c r="N27" s="17"/>
    </row>
    <row r="28" spans="1:19" hidden="1">
      <c r="A28" s="52" t="s">
        <v>30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4"/>
    </row>
    <row r="29" spans="1:19" ht="30.75" customHeight="1">
      <c r="A29" s="121" t="s">
        <v>31</v>
      </c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</row>
    <row r="30" spans="1:19" ht="30.75" customHeight="1">
      <c r="A30" s="32" t="s">
        <v>32</v>
      </c>
      <c r="B30" s="32" t="s">
        <v>33</v>
      </c>
      <c r="C30" s="32" t="s">
        <v>34</v>
      </c>
      <c r="D30" s="44" t="s">
        <v>35</v>
      </c>
      <c r="E30" s="44"/>
      <c r="F30" s="44"/>
      <c r="G30" s="44"/>
      <c r="H30" s="44"/>
      <c r="I30" s="44"/>
      <c r="J30" s="44"/>
      <c r="K30" s="44"/>
      <c r="L30" s="44"/>
      <c r="M30" s="44"/>
    </row>
    <row r="31" spans="1:19" s="18" customFormat="1" ht="99.75" customHeight="1">
      <c r="A31" s="35">
        <v>40000</v>
      </c>
      <c r="B31" s="36">
        <f>L27</f>
        <v>40000</v>
      </c>
      <c r="C31" s="33">
        <f>A31-B31</f>
        <v>0</v>
      </c>
      <c r="D31" s="120"/>
      <c r="E31" s="45"/>
      <c r="F31" s="45"/>
      <c r="G31" s="45"/>
      <c r="H31" s="45"/>
      <c r="I31" s="45"/>
      <c r="J31" s="45"/>
      <c r="K31" s="45"/>
      <c r="L31" s="45"/>
      <c r="M31" s="45"/>
    </row>
    <row r="32" spans="1:19" ht="30.75" customHeight="1">
      <c r="A32" s="32" t="s">
        <v>36</v>
      </c>
      <c r="B32" s="32" t="s">
        <v>37</v>
      </c>
      <c r="C32" s="32" t="s">
        <v>38</v>
      </c>
      <c r="D32" s="44" t="s">
        <v>39</v>
      </c>
      <c r="E32" s="44"/>
      <c r="F32" s="44"/>
      <c r="G32" s="44"/>
      <c r="H32" s="44"/>
      <c r="I32" s="44"/>
      <c r="J32" s="44"/>
      <c r="K32" s="44"/>
      <c r="L32" s="44"/>
      <c r="M32" s="44"/>
    </row>
    <row r="33" spans="1:13" s="18" customFormat="1" ht="99.75" customHeight="1">
      <c r="A33" s="35">
        <f>A31*G11</f>
        <v>80000</v>
      </c>
      <c r="B33" s="36">
        <f>J20+B31</f>
        <v>40000</v>
      </c>
      <c r="C33" s="33">
        <f>A33-B33</f>
        <v>40000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1:13" ht="30.75" customHeight="1">
      <c r="A34" s="32" t="s">
        <v>40</v>
      </c>
      <c r="B34" s="32" t="s">
        <v>41</v>
      </c>
      <c r="C34" s="32" t="s">
        <v>38</v>
      </c>
      <c r="D34" s="44" t="s">
        <v>42</v>
      </c>
      <c r="E34" s="44"/>
      <c r="F34" s="44"/>
      <c r="G34" s="44"/>
      <c r="H34" s="44"/>
      <c r="I34" s="44"/>
      <c r="J34" s="44"/>
      <c r="K34" s="44"/>
      <c r="L34" s="44"/>
      <c r="M34" s="44"/>
    </row>
    <row r="35" spans="1:13" s="18" customFormat="1" ht="49.5" customHeight="1">
      <c r="A35" s="37" t="e">
        <f>A31/G20</f>
        <v>#DIV/0!</v>
      </c>
      <c r="B35" s="37" t="e">
        <f>B31/G20</f>
        <v>#DIV/0!</v>
      </c>
      <c r="C35" s="34" t="e">
        <f>A35-B35</f>
        <v>#DIV/0!</v>
      </c>
      <c r="D35" s="120" t="s">
        <v>43</v>
      </c>
      <c r="E35" s="45"/>
      <c r="F35" s="45"/>
      <c r="G35" s="45"/>
      <c r="H35" s="45"/>
      <c r="I35" s="45"/>
      <c r="J35" s="45"/>
      <c r="K35" s="45"/>
      <c r="L35" s="45"/>
      <c r="M35" s="45"/>
    </row>
    <row r="36" spans="1:13" ht="30" customHeight="1">
      <c r="A36" s="114" t="s">
        <v>44</v>
      </c>
      <c r="B36" s="115"/>
      <c r="C36" s="114" t="s">
        <v>45</v>
      </c>
      <c r="D36" s="70"/>
      <c r="E36" s="70"/>
      <c r="F36" s="70"/>
      <c r="G36" s="71"/>
      <c r="H36" s="69" t="s">
        <v>46</v>
      </c>
      <c r="I36" s="70"/>
      <c r="J36" s="71"/>
      <c r="K36" s="27"/>
      <c r="L36" s="69" t="s">
        <v>47</v>
      </c>
      <c r="M36" s="71"/>
    </row>
    <row r="37" spans="1:13" ht="37.5" customHeight="1">
      <c r="A37" s="116" t="s">
        <v>48</v>
      </c>
      <c r="B37" s="117"/>
      <c r="C37" s="103"/>
      <c r="D37" s="107"/>
      <c r="E37" s="107"/>
      <c r="F37" s="107"/>
      <c r="G37" s="104"/>
      <c r="H37" s="103"/>
      <c r="I37" s="107"/>
      <c r="J37" s="104"/>
      <c r="K37" s="30"/>
      <c r="L37" s="103"/>
      <c r="M37" s="104"/>
    </row>
    <row r="38" spans="1:13" ht="37.5" customHeight="1">
      <c r="A38" s="118"/>
      <c r="B38" s="119"/>
      <c r="C38" s="105"/>
      <c r="D38" s="108"/>
      <c r="E38" s="108"/>
      <c r="F38" s="108"/>
      <c r="G38" s="106"/>
      <c r="H38" s="105"/>
      <c r="I38" s="108"/>
      <c r="J38" s="106"/>
      <c r="K38" s="31"/>
      <c r="L38" s="105"/>
      <c r="M38" s="106"/>
    </row>
    <row r="39" spans="1:13" ht="37.5" customHeight="1">
      <c r="A39" s="103" t="s">
        <v>49</v>
      </c>
      <c r="B39" s="104"/>
      <c r="C39" s="103"/>
      <c r="D39" s="107"/>
      <c r="E39" s="107"/>
      <c r="F39" s="107"/>
      <c r="G39" s="104"/>
      <c r="H39" s="103"/>
      <c r="I39" s="107"/>
      <c r="J39" s="104"/>
      <c r="K39" s="30"/>
      <c r="L39" s="103"/>
      <c r="M39" s="104"/>
    </row>
    <row r="40" spans="1:13" ht="37.5" customHeight="1">
      <c r="A40" s="105"/>
      <c r="B40" s="106"/>
      <c r="C40" s="105"/>
      <c r="D40" s="108"/>
      <c r="E40" s="108"/>
      <c r="F40" s="108"/>
      <c r="G40" s="106"/>
      <c r="H40" s="105"/>
      <c r="I40" s="108"/>
      <c r="J40" s="106"/>
      <c r="K40" s="31"/>
      <c r="L40" s="105"/>
      <c r="M40" s="106"/>
    </row>
    <row r="41" spans="1:13" hidden="1">
      <c r="A41" s="94" t="s">
        <v>50</v>
      </c>
      <c r="B41" s="94"/>
      <c r="C41" s="94"/>
      <c r="D41" s="94"/>
      <c r="E41" s="94"/>
      <c r="F41" s="94"/>
      <c r="G41" s="94"/>
      <c r="H41" s="94"/>
      <c r="I41" s="94"/>
      <c r="J41" s="94"/>
      <c r="K41" s="29"/>
      <c r="L41" s="94"/>
      <c r="M41" s="94"/>
    </row>
    <row r="42" spans="1:13" hidden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28"/>
      <c r="L42" s="93"/>
      <c r="M42" s="93"/>
    </row>
    <row r="43" spans="1:13" hidden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28"/>
      <c r="L43" s="93"/>
      <c r="M43" s="93"/>
    </row>
  </sheetData>
  <mergeCells count="74">
    <mergeCell ref="H37:J38"/>
    <mergeCell ref="A27:C27"/>
    <mergeCell ref="A28:M28"/>
    <mergeCell ref="G27:H27"/>
    <mergeCell ref="L36:M36"/>
    <mergeCell ref="H36:J36"/>
    <mergeCell ref="A36:B36"/>
    <mergeCell ref="C36:G36"/>
    <mergeCell ref="A37:B38"/>
    <mergeCell ref="C37:G38"/>
    <mergeCell ref="L37:M38"/>
    <mergeCell ref="D34:M34"/>
    <mergeCell ref="D35:M35"/>
    <mergeCell ref="A29:M29"/>
    <mergeCell ref="D30:M30"/>
    <mergeCell ref="D31:M31"/>
    <mergeCell ref="L42:M42"/>
    <mergeCell ref="L43:M43"/>
    <mergeCell ref="C43:G43"/>
    <mergeCell ref="H41:J41"/>
    <mergeCell ref="H42:J42"/>
    <mergeCell ref="H43:J43"/>
    <mergeCell ref="A39:B40"/>
    <mergeCell ref="H39:J40"/>
    <mergeCell ref="L39:M40"/>
    <mergeCell ref="C39:G40"/>
    <mergeCell ref="A41:B41"/>
    <mergeCell ref="L41:M41"/>
    <mergeCell ref="A43:B43"/>
    <mergeCell ref="A42:B42"/>
    <mergeCell ref="C41:G41"/>
    <mergeCell ref="C42:G42"/>
    <mergeCell ref="A1:M1"/>
    <mergeCell ref="A2:M2"/>
    <mergeCell ref="J4:M4"/>
    <mergeCell ref="J8:M9"/>
    <mergeCell ref="J7:M7"/>
    <mergeCell ref="G7:I7"/>
    <mergeCell ref="G8:I9"/>
    <mergeCell ref="G3:I3"/>
    <mergeCell ref="J3:M3"/>
    <mergeCell ref="G11:I12"/>
    <mergeCell ref="G10:I10"/>
    <mergeCell ref="J5:M5"/>
    <mergeCell ref="J6:M6"/>
    <mergeCell ref="A5:I5"/>
    <mergeCell ref="A6:I6"/>
    <mergeCell ref="G4:I4"/>
    <mergeCell ref="A3:F3"/>
    <mergeCell ref="A4:F4"/>
    <mergeCell ref="A13:H13"/>
    <mergeCell ref="I13:M13"/>
    <mergeCell ref="J11:M12"/>
    <mergeCell ref="J10:M10"/>
    <mergeCell ref="A7:F7"/>
    <mergeCell ref="A8:F9"/>
    <mergeCell ref="A10:F11"/>
    <mergeCell ref="A12:F12"/>
    <mergeCell ref="A14:H17"/>
    <mergeCell ref="A18:M18"/>
    <mergeCell ref="A26:B26"/>
    <mergeCell ref="I14:M17"/>
    <mergeCell ref="G26:H26"/>
    <mergeCell ref="A20:B20"/>
    <mergeCell ref="A21:B21"/>
    <mergeCell ref="A22:B22"/>
    <mergeCell ref="A23:B23"/>
    <mergeCell ref="A24:B24"/>
    <mergeCell ref="A25:B25"/>
    <mergeCell ref="D32:M32"/>
    <mergeCell ref="D33:M33"/>
    <mergeCell ref="G20:H20"/>
    <mergeCell ref="A19:B19"/>
    <mergeCell ref="G19:H19"/>
  </mergeCells>
  <dataValidations count="1">
    <dataValidation type="list" allowBlank="1" showInputMessage="1" showErrorMessage="1" promptTitle="Caso sim" prompt="Informar centro de custo e ODE_x000a_" sqref="F20" xr:uid="{ED25DDC9-AAD8-4424-B22B-A389FC643991}">
      <formula1>"sim,não"</formula1>
    </dataValidation>
  </dataValidations>
  <pageMargins left="0.25" right="0.25" top="0.75" bottom="0.75" header="0.3" footer="0.3"/>
  <pageSetup paperSize="9" scale="82" orientation="portrait" r:id="rId1"/>
  <headerFooter>
    <oddHeader>&amp;L&amp;"Calibri"&amp;10&amp;K0000FFUso Interno CPFL&amp;1#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8"/>
  <sheetViews>
    <sheetView workbookViewId="0">
      <selection activeCell="J15" sqref="J15"/>
    </sheetView>
  </sheetViews>
  <sheetFormatPr defaultRowHeight="14.5"/>
  <cols>
    <col min="2" max="2" width="27.7265625" bestFit="1" customWidth="1"/>
    <col min="4" max="4" width="11" bestFit="1" customWidth="1"/>
    <col min="5" max="5" width="21.7265625" bestFit="1" customWidth="1"/>
    <col min="6" max="6" width="10" bestFit="1" customWidth="1"/>
    <col min="7" max="7" width="14.26953125" bestFit="1" customWidth="1"/>
    <col min="8" max="8" width="20.453125" bestFit="1" customWidth="1"/>
    <col min="9" max="9" width="22.54296875" bestFit="1" customWidth="1"/>
    <col min="10" max="10" width="21" bestFit="1" customWidth="1"/>
  </cols>
  <sheetData>
    <row r="3" spans="2:10">
      <c r="B3" s="49" t="s">
        <v>51</v>
      </c>
      <c r="C3" s="49"/>
      <c r="D3" s="6" t="s">
        <v>52</v>
      </c>
      <c r="E3" s="133" t="s">
        <v>20</v>
      </c>
      <c r="F3" s="133"/>
      <c r="G3" s="7" t="s">
        <v>21</v>
      </c>
      <c r="H3" s="7" t="s">
        <v>22</v>
      </c>
      <c r="I3" s="7" t="s">
        <v>24</v>
      </c>
      <c r="J3" s="7" t="s">
        <v>25</v>
      </c>
    </row>
    <row r="4" spans="2:10">
      <c r="B4" s="127" t="s">
        <v>53</v>
      </c>
      <c r="C4" s="128"/>
      <c r="D4" s="1">
        <v>4600056983</v>
      </c>
      <c r="E4" s="125">
        <v>8749.73</v>
      </c>
      <c r="F4" s="126"/>
      <c r="G4" s="3">
        <v>7.9999989028234367E-2</v>
      </c>
      <c r="H4" s="4">
        <v>7936.33</v>
      </c>
      <c r="I4" s="4">
        <v>464.79993625404165</v>
      </c>
      <c r="J4" s="4">
        <f>E4-H4-I4</f>
        <v>348.60006374595798</v>
      </c>
    </row>
    <row r="5" spans="2:10">
      <c r="B5" s="127" t="s">
        <v>54</v>
      </c>
      <c r="C5" s="128"/>
      <c r="D5" s="1">
        <v>4600056983</v>
      </c>
      <c r="E5" s="125">
        <v>48123.519999999997</v>
      </c>
      <c r="F5" s="126">
        <v>48123.519999999997</v>
      </c>
      <c r="G5" s="3">
        <v>0.43999998537097912</v>
      </c>
      <c r="H5" s="4">
        <v>43649.82</v>
      </c>
      <c r="I5" s="4">
        <v>2556.3999150053887</v>
      </c>
      <c r="J5" s="4">
        <f t="shared" ref="J5:J14" si="0">E5-H5-I5</f>
        <v>1917.3000849946084</v>
      </c>
    </row>
    <row r="6" spans="2:10">
      <c r="B6" s="127" t="s">
        <v>55</v>
      </c>
      <c r="C6" s="128"/>
      <c r="D6" s="1">
        <v>4600056983</v>
      </c>
      <c r="E6" s="125">
        <v>19686.89</v>
      </c>
      <c r="F6" s="126">
        <v>19686.89</v>
      </c>
      <c r="G6" s="3">
        <v>0.17999995245568229</v>
      </c>
      <c r="H6" s="4">
        <v>17856.740000000002</v>
      </c>
      <c r="I6" s="4">
        <v>1045.799723767514</v>
      </c>
      <c r="J6" s="4">
        <f t="shared" si="0"/>
        <v>784.35027623248379</v>
      </c>
    </row>
    <row r="7" spans="2:10">
      <c r="B7" s="131" t="s">
        <v>56</v>
      </c>
      <c r="C7" s="132"/>
      <c r="D7" s="1">
        <v>4600056983</v>
      </c>
      <c r="E7" s="125">
        <v>3281.15</v>
      </c>
      <c r="F7" s="126">
        <v>3281.15</v>
      </c>
      <c r="G7" s="3">
        <v>3.0000007314510416E-2</v>
      </c>
      <c r="H7" s="4">
        <v>2976.12</v>
      </c>
      <c r="I7" s="4">
        <v>174.30004249730553</v>
      </c>
      <c r="J7" s="4">
        <f t="shared" si="0"/>
        <v>130.72995750269467</v>
      </c>
    </row>
    <row r="8" spans="2:10">
      <c r="B8" s="131" t="s">
        <v>57</v>
      </c>
      <c r="C8" s="132"/>
      <c r="D8" s="1">
        <v>4600056983</v>
      </c>
      <c r="E8" s="125">
        <v>1093.72</v>
      </c>
      <c r="F8" s="126">
        <v>1093.72</v>
      </c>
      <c r="G8" s="3">
        <v>1.0000032915296872E-2</v>
      </c>
      <c r="H8" s="4">
        <v>992.04</v>
      </c>
      <c r="I8" s="4">
        <v>58.100191237874824</v>
      </c>
      <c r="J8" s="4">
        <f t="shared" si="0"/>
        <v>43.579808762125239</v>
      </c>
    </row>
    <row r="9" spans="2:10">
      <c r="B9" s="131" t="s">
        <v>58</v>
      </c>
      <c r="C9" s="132"/>
      <c r="D9" s="1">
        <v>4600056983</v>
      </c>
      <c r="E9" s="125">
        <v>1093.72</v>
      </c>
      <c r="F9" s="126">
        <v>1093.72</v>
      </c>
      <c r="G9" s="3">
        <v>1.0000032915296872E-2</v>
      </c>
      <c r="H9" s="4">
        <v>992.04</v>
      </c>
      <c r="I9" s="4">
        <v>58.100191237874824</v>
      </c>
      <c r="J9" s="4">
        <f t="shared" si="0"/>
        <v>43.579808762125239</v>
      </c>
    </row>
    <row r="10" spans="2:10">
      <c r="B10" s="131" t="s">
        <v>59</v>
      </c>
      <c r="C10" s="132"/>
      <c r="D10" s="1">
        <v>4600056983</v>
      </c>
      <c r="E10" s="125">
        <v>1093.72</v>
      </c>
      <c r="F10" s="126">
        <v>1093.72</v>
      </c>
      <c r="G10" s="3">
        <v>1.0000032915296872E-2</v>
      </c>
      <c r="H10" s="4">
        <v>991.77</v>
      </c>
      <c r="I10" s="4">
        <v>58.100191237874824</v>
      </c>
      <c r="J10" s="4">
        <f t="shared" si="0"/>
        <v>43.849808762125221</v>
      </c>
    </row>
    <row r="11" spans="2:10">
      <c r="B11" s="131" t="s">
        <v>60</v>
      </c>
      <c r="C11" s="132"/>
      <c r="D11" s="1">
        <v>4600056983</v>
      </c>
      <c r="E11" s="125">
        <v>1093.72</v>
      </c>
      <c r="F11" s="126">
        <v>1093.72</v>
      </c>
      <c r="G11" s="3">
        <v>1.0000032915296872E-2</v>
      </c>
      <c r="H11" s="4">
        <v>992.04</v>
      </c>
      <c r="I11" s="4">
        <v>58.100191237874824</v>
      </c>
      <c r="J11" s="4">
        <f t="shared" si="0"/>
        <v>43.579808762125239</v>
      </c>
    </row>
    <row r="12" spans="2:10">
      <c r="B12" s="8" t="s">
        <v>61</v>
      </c>
      <c r="C12" s="9"/>
      <c r="D12" s="1">
        <v>4600056983</v>
      </c>
      <c r="E12" s="125">
        <v>17499.46</v>
      </c>
      <c r="F12" s="126">
        <v>17499.46</v>
      </c>
      <c r="G12" s="3">
        <v>0.15999997805646873</v>
      </c>
      <c r="H12" s="4">
        <v>15869.66</v>
      </c>
      <c r="I12" s="4">
        <v>929.59987250808331</v>
      </c>
      <c r="J12" s="4">
        <f t="shared" si="0"/>
        <v>700.20012749191596</v>
      </c>
    </row>
    <row r="13" spans="2:10">
      <c r="B13" s="127" t="s">
        <v>62</v>
      </c>
      <c r="C13" s="128"/>
      <c r="D13" s="1">
        <v>4600056983</v>
      </c>
      <c r="E13" s="125">
        <v>5468.58</v>
      </c>
      <c r="F13" s="126">
        <v>5468.58</v>
      </c>
      <c r="G13" s="3">
        <v>4.9999981713723961E-2</v>
      </c>
      <c r="H13" s="4">
        <v>4960.2</v>
      </c>
      <c r="I13" s="4">
        <v>290.49989375673618</v>
      </c>
      <c r="J13" s="4">
        <f t="shared" si="0"/>
        <v>217.88010624326392</v>
      </c>
    </row>
    <row r="14" spans="2:10">
      <c r="B14" s="127" t="s">
        <v>63</v>
      </c>
      <c r="C14" s="128"/>
      <c r="D14" s="1">
        <v>4600056983</v>
      </c>
      <c r="E14" s="125">
        <v>2187.4299999999998</v>
      </c>
      <c r="F14" s="126">
        <v>2187.4299999999998</v>
      </c>
      <c r="G14" s="3">
        <v>1.9999974399213541E-2</v>
      </c>
      <c r="H14" s="4">
        <v>1984.08</v>
      </c>
      <c r="I14" s="4">
        <v>116.19985125943067</v>
      </c>
      <c r="J14" s="4">
        <f t="shared" si="0"/>
        <v>87.150148740569236</v>
      </c>
    </row>
    <row r="15" spans="2:10">
      <c r="B15" s="109" t="s">
        <v>29</v>
      </c>
      <c r="C15" s="110"/>
      <c r="D15" s="111"/>
      <c r="E15" s="129">
        <f t="shared" ref="E15:F15" si="1">SUM(E4:E14)</f>
        <v>109371.64</v>
      </c>
      <c r="F15" s="130">
        <f t="shared" si="1"/>
        <v>100621.90999999999</v>
      </c>
      <c r="G15" s="2">
        <v>0.99999999999999978</v>
      </c>
      <c r="H15" s="5">
        <f>SUM(H4:H14)</f>
        <v>99200.839999999982</v>
      </c>
      <c r="I15" s="5">
        <v>5810</v>
      </c>
      <c r="J15" s="5">
        <f>E15-H15-I15</f>
        <v>4360.8000000000175</v>
      </c>
    </row>
    <row r="16" spans="2:10">
      <c r="B16" s="122" t="s">
        <v>64</v>
      </c>
      <c r="C16" s="123"/>
      <c r="D16" s="123"/>
      <c r="E16" s="123"/>
      <c r="F16" s="123"/>
      <c r="G16" s="123"/>
      <c r="H16" s="123"/>
      <c r="I16" s="123"/>
      <c r="J16" s="124"/>
    </row>
    <row r="18" spans="8:8">
      <c r="H18" s="10"/>
    </row>
  </sheetData>
  <mergeCells count="26"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6:J16"/>
    <mergeCell ref="E12:F12"/>
    <mergeCell ref="B13:C13"/>
    <mergeCell ref="E13:F13"/>
    <mergeCell ref="B14:C14"/>
    <mergeCell ref="E14:F14"/>
    <mergeCell ref="B15:D15"/>
    <mergeCell ref="E15:F15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&amp;L&amp;"Calibri"&amp;10&amp;K0000FFUso Interno CPFL&amp;1#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d6d94-78bc-4781-8425-7b5ec0beb4d8">
      <Terms xmlns="http://schemas.microsoft.com/office/infopath/2007/PartnerControls"/>
    </lcf76f155ced4ddcb4097134ff3c332f>
    <TaxCatchAll xmlns="4648d918-7d49-4b56-920b-bf171d8cf02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A50D714FBCE4B820A8141F9E86AA6" ma:contentTypeVersion="15" ma:contentTypeDescription="Create a new document." ma:contentTypeScope="" ma:versionID="0a37b2771c0b290e917e3c7d4f98bd7d">
  <xsd:schema xmlns:xsd="http://www.w3.org/2001/XMLSchema" xmlns:xs="http://www.w3.org/2001/XMLSchema" xmlns:p="http://schemas.microsoft.com/office/2006/metadata/properties" xmlns:ns2="9ffd6d94-78bc-4781-8425-7b5ec0beb4d8" xmlns:ns3="4648d918-7d49-4b56-920b-bf171d8cf02d" targetNamespace="http://schemas.microsoft.com/office/2006/metadata/properties" ma:root="true" ma:fieldsID="809bd9185be936672c35dde683631955" ns2:_="" ns3:_="">
    <xsd:import namespace="9ffd6d94-78bc-4781-8425-7b5ec0beb4d8"/>
    <xsd:import namespace="4648d918-7d49-4b56-920b-bf171d8cf0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d6d94-78bc-4781-8425-7b5ec0beb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abefd39-7e86-4faa-9b93-212d92999e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8d918-7d49-4b56-920b-bf171d8cf0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31e5501-a822-4161-8e8a-0b8a3713385d}" ma:internalName="TaxCatchAll" ma:showField="CatchAllData" ma:web="4648d918-7d49-4b56-920b-bf171d8cf0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CABEFB-A962-4DEA-8E7A-50B8ECB8B2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114235-DE98-46FE-84F3-0A2BF18454D8}">
  <ds:schemaRefs>
    <ds:schemaRef ds:uri="http://schemas.microsoft.com/office/2006/metadata/properties"/>
    <ds:schemaRef ds:uri="http://schemas.microsoft.com/office/infopath/2007/PartnerControls"/>
    <ds:schemaRef ds:uri="9ffd6d94-78bc-4781-8425-7b5ec0beb4d8"/>
    <ds:schemaRef ds:uri="4648d918-7d49-4b56-920b-bf171d8cf02d"/>
  </ds:schemaRefs>
</ds:datastoreItem>
</file>

<file path=customXml/itemProps3.xml><?xml version="1.0" encoding="utf-8"?>
<ds:datastoreItem xmlns:ds="http://schemas.openxmlformats.org/officeDocument/2006/customXml" ds:itemID="{CB91427F-AA5C-429B-8B06-F6D0CFBF6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fd6d94-78bc-4781-8425-7b5ec0beb4d8"/>
    <ds:schemaRef ds:uri="4648d918-7d49-4b56-920b-bf171d8cf0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Termo_Aceite</vt:lpstr>
      <vt:lpstr>Plan1</vt:lpstr>
      <vt:lpstr>Termo_Aceite!Area_de_impressao</vt:lpstr>
    </vt:vector>
  </TitlesOfParts>
  <Manager/>
  <Company>CSC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fmorganti</dc:creator>
  <cp:keywords/>
  <dc:description/>
  <cp:lastModifiedBy>Cecília Natália</cp:lastModifiedBy>
  <cp:revision/>
  <dcterms:created xsi:type="dcterms:W3CDTF">2012-11-05T12:37:49Z</dcterms:created>
  <dcterms:modified xsi:type="dcterms:W3CDTF">2026-08-12T20:29:05Z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0x01010093AA50D714FBCE4B820A8141F9E86AA6</vt:lpwstr>
  </property>
  <property fmtid="{D5CDD505-2E9C-101B-9397-08002B2CF9AE}" pid="3" name="MSIP_Label_022f19bc-c0ef-436a-be43-be1adb274cf3_Enabled">
    <vt:lpwstr>true</vt:lpwstr>
  </property>
  <property fmtid="{D5CDD505-2E9C-101B-9397-08002B2CF9AE}" pid="4" name="MSIP_Label_022f19bc-c0ef-436a-be43-be1adb274cf3_SetDate">
    <vt:lpwstr>2022-07-07T13:52:09Z</vt:lpwstr>
  </property>
  <property fmtid="{D5CDD505-2E9C-101B-9397-08002B2CF9AE}" pid="5" name="MSIP_Label_022f19bc-c0ef-436a-be43-be1adb274cf3_Method">
    <vt:lpwstr>Standard</vt:lpwstr>
  </property>
  <property fmtid="{D5CDD505-2E9C-101B-9397-08002B2CF9AE}" pid="6" name="MSIP_Label_022f19bc-c0ef-436a-be43-be1adb274cf3_Name">
    <vt:lpwstr>Interno</vt:lpwstr>
  </property>
  <property fmtid="{D5CDD505-2E9C-101B-9397-08002B2CF9AE}" pid="7" name="MSIP_Label_022f19bc-c0ef-436a-be43-be1adb274cf3_SiteId">
    <vt:lpwstr>93546618-e20a-4fd3-a884-9e33ca7234a7</vt:lpwstr>
  </property>
  <property fmtid="{D5CDD505-2E9C-101B-9397-08002B2CF9AE}" pid="8" name="MSIP_Label_022f19bc-c0ef-436a-be43-be1adb274cf3_ActionId">
    <vt:lpwstr>96f78d25-b894-4425-883c-4850e85b0c98</vt:lpwstr>
  </property>
  <property fmtid="{D5CDD505-2E9C-101B-9397-08002B2CF9AE}" pid="9" name="MSIP_Label_022f19bc-c0ef-436a-be43-be1adb274cf3_ContentBits">
    <vt:lpwstr>1</vt:lpwstr>
  </property>
  <property fmtid="{D5CDD505-2E9C-101B-9397-08002B2CF9AE}" pid="10" name="MediaServiceImageTags">
    <vt:lpwstr/>
  </property>
</Properties>
</file>